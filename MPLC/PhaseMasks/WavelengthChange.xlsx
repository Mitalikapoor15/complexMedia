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15" i="1" l="1"/>
  <c r="B14" i="1"/>
  <c r="B8" i="1"/>
  <c r="B7" i="1"/>
</calcChain>
</file>

<file path=xl/sharedStrings.xml><?xml version="1.0" encoding="utf-8"?>
<sst xmlns="http://schemas.openxmlformats.org/spreadsheetml/2006/main" count="14" uniqueCount="12">
  <si>
    <t>Wavelength (New)</t>
  </si>
  <si>
    <t>Distance to first plane (mm)</t>
  </si>
  <si>
    <t>Mask spacing (pixels)</t>
  </si>
  <si>
    <t>Pixel size (um)</t>
  </si>
  <si>
    <t>SLM-to-mirror spacing (mm)</t>
  </si>
  <si>
    <t>Angle of incidence (deg)</t>
  </si>
  <si>
    <t>Original Settings</t>
  </si>
  <si>
    <t>Wavelength (nm)</t>
  </si>
  <si>
    <t>New Settings</t>
  </si>
  <si>
    <t>Total plane-to-plane distance (mm)</t>
  </si>
  <si>
    <t>Calculated values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</si>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</sst>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C15" sqref="C15"/>
    </sheetView>
  </sheetViews>
  <sheetFormatPr defaultRowHeight="15" x14ac:dyDescent="0.25"/>
  <cols>
    <col min="1" max="1" width="32.85546875" customWidth="1"/>
    <col min="2" max="2" width="12" bestFit="1" customWidth="1"/>
  </cols>
  <sheetData>
    <row r="1" spans="1:2" x14ac:dyDescent="0.25">
      <c r="A1" s="1" t="s">
        <v>6</v>
      </c>
    </row>
    <row r="2" spans="1:2" x14ac:dyDescent="0.25">
      <c r="A2" t="s">
        <v>7</v>
      </c>
      <c r="B2">
        <v>1565</v>
      </c>
    </row>
    <row r="3" spans="1:2" x14ac:dyDescent="0.25">
      <c r="A3" t="s">
        <v>1</v>
      </c>
      <c r="B3">
        <v>20</v>
      </c>
    </row>
    <row r="4" spans="1:2" x14ac:dyDescent="0.25">
      <c r="A4" t="s">
        <v>3</v>
      </c>
      <c r="B4">
        <v>8</v>
      </c>
    </row>
    <row r="5" spans="1:2" x14ac:dyDescent="0.25">
      <c r="A5" t="s">
        <v>2</v>
      </c>
      <c r="B5">
        <v>274</v>
      </c>
    </row>
    <row r="6" spans="1:2" x14ac:dyDescent="0.25">
      <c r="A6" t="s">
        <v>4</v>
      </c>
      <c r="B6">
        <v>12.5</v>
      </c>
    </row>
    <row r="7" spans="1:2" x14ac:dyDescent="0.25">
      <c r="A7" t="s">
        <v>5</v>
      </c>
      <c r="B7">
        <f>(ATAN((B5*B4*0.000001)/(2*B6*0.001)))*180/PI()</f>
        <v>5.010879316993587</v>
      </c>
    </row>
    <row r="8" spans="1:2" x14ac:dyDescent="0.25">
      <c r="A8" t="s">
        <v>9</v>
      </c>
      <c r="B8">
        <f>(B6/COS(B7*PI()/180))*2</f>
        <v>25.095913292805264</v>
      </c>
    </row>
    <row r="10" spans="1:2" x14ac:dyDescent="0.25">
      <c r="A10" s="1" t="s">
        <v>8</v>
      </c>
    </row>
    <row r="11" spans="1:2" x14ac:dyDescent="0.25">
      <c r="A11" s="2" t="s">
        <v>11</v>
      </c>
    </row>
    <row r="12" spans="1:2" x14ac:dyDescent="0.25">
      <c r="A12" t="s">
        <v>0</v>
      </c>
      <c r="B12">
        <v>810</v>
      </c>
    </row>
    <row r="13" spans="1:2" x14ac:dyDescent="0.25">
      <c r="A13" s="2" t="s">
        <v>10</v>
      </c>
    </row>
    <row r="14" spans="1:2" x14ac:dyDescent="0.25">
      <c r="A14" t="s">
        <v>1</v>
      </c>
      <c r="B14">
        <f>B3*(B2/B12)</f>
        <v>38.641975308641975</v>
      </c>
    </row>
    <row r="15" spans="1:2" x14ac:dyDescent="0.25">
      <c r="A15" t="s">
        <v>9</v>
      </c>
      <c r="B15">
        <f>B8*(B2/B12)</f>
        <v>48.487783090420045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2018-05-05T02:48:44Z</dcterms:modified>
</cp:coreProperties>
</file>